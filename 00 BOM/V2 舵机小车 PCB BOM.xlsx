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D_P\project_all\pro-0130 STM32 Servo Car\Code Cadance V3\BOM\"/>
    </mc:Choice>
  </mc:AlternateContent>
  <xr:revisionPtr revIDLastSave="0" documentId="13_ncr:9_{EFF5531D-0E16-4C6E-9A80-2CA271990FBC}" xr6:coauthVersionLast="47" xr6:coauthVersionMax="47" xr10:uidLastSave="{00000000-0000-0000-0000-000000000000}"/>
  <bookViews>
    <workbookView xWindow="19110" yWindow="0" windowWidth="19380" windowHeight="20970" xr2:uid="{11543799-7241-4855-9A7E-05CE89DDB420}"/>
  </bookViews>
  <sheets>
    <sheet name="0216_ORCAD" sheetId="1" r:id="rId1"/>
  </sheets>
  <calcPr calcId="191029"/>
</workbook>
</file>

<file path=xl/calcChain.xml><?xml version="1.0" encoding="utf-8"?>
<calcChain xmlns="http://schemas.openxmlformats.org/spreadsheetml/2006/main">
  <c r="L13" i="1" l="1"/>
  <c r="M13" i="1" s="1"/>
  <c r="L14" i="1"/>
  <c r="M14" i="1" s="1"/>
  <c r="M25" i="1"/>
  <c r="L9" i="1"/>
  <c r="L7" i="1"/>
  <c r="M7" i="1" s="1"/>
  <c r="L18" i="1"/>
  <c r="L26" i="1"/>
  <c r="M26" i="1" s="1"/>
  <c r="L12" i="1"/>
  <c r="L10" i="1"/>
  <c r="L5" i="1"/>
  <c r="M5" i="1" s="1"/>
  <c r="L8" i="1"/>
  <c r="M8" i="1" s="1"/>
  <c r="M30" i="1"/>
  <c r="M23" i="1"/>
  <c r="J25" i="1"/>
  <c r="J23" i="1"/>
  <c r="L22" i="1"/>
  <c r="M22" i="1" s="1"/>
  <c r="L23" i="1"/>
  <c r="L24" i="1"/>
  <c r="M24" i="1" s="1"/>
  <c r="L25" i="1"/>
  <c r="L21" i="1"/>
  <c r="M21" i="1" s="1"/>
  <c r="L20" i="1"/>
  <c r="M20" i="1" s="1"/>
  <c r="L19" i="1"/>
  <c r="M19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4" i="1"/>
  <c r="J26" i="1"/>
  <c r="J27" i="1"/>
  <c r="J28" i="1"/>
  <c r="J29" i="1"/>
  <c r="J30" i="1"/>
  <c r="J31" i="1"/>
  <c r="J32" i="1"/>
  <c r="J33" i="1"/>
  <c r="J34" i="1"/>
  <c r="J2" i="1"/>
  <c r="M6" i="1"/>
  <c r="M9" i="1"/>
  <c r="M10" i="1"/>
  <c r="M11" i="1"/>
  <c r="M12" i="1"/>
  <c r="M15" i="1"/>
  <c r="M16" i="1"/>
  <c r="M17" i="1"/>
  <c r="M18" i="1"/>
  <c r="M27" i="1"/>
  <c r="M28" i="1"/>
  <c r="M29" i="1"/>
  <c r="M31" i="1"/>
  <c r="M32" i="1"/>
  <c r="M33" i="1"/>
  <c r="M34" i="1"/>
  <c r="M4" i="1"/>
  <c r="M3" i="1"/>
  <c r="M2" i="1"/>
  <c r="M39" i="1" l="1"/>
</calcChain>
</file>

<file path=xl/sharedStrings.xml><?xml version="1.0" encoding="utf-8"?>
<sst xmlns="http://schemas.openxmlformats.org/spreadsheetml/2006/main" count="226" uniqueCount="152">
  <si>
    <t>Item</t>
  </si>
  <si>
    <t>FootPrint</t>
  </si>
  <si>
    <t>C1,C2,C3,C4,C15</t>
  </si>
  <si>
    <t>22pF,16V</t>
  </si>
  <si>
    <t>C0603</t>
  </si>
  <si>
    <t>C5,C18</t>
  </si>
  <si>
    <t>4.7uF,16V</t>
  </si>
  <si>
    <t>C6,C7,C8,C11,C12,C20,C21,C24,C25,C28,C29,C30,C31,C32</t>
  </si>
  <si>
    <t>100nF,16V</t>
  </si>
  <si>
    <t>C9</t>
  </si>
  <si>
    <t>10nF,16V</t>
  </si>
  <si>
    <t>C10,C19</t>
  </si>
  <si>
    <t>1uF,10V</t>
  </si>
  <si>
    <t>C13</t>
  </si>
  <si>
    <t>220uF,50V</t>
  </si>
  <si>
    <t>CP_D10xL10R2</t>
  </si>
  <si>
    <t>C14</t>
  </si>
  <si>
    <t>C16</t>
  </si>
  <si>
    <t>220uF,16V</t>
  </si>
  <si>
    <t>C17</t>
  </si>
  <si>
    <t>150pF,16V</t>
  </si>
  <si>
    <t>C22,C23,C26,C27</t>
  </si>
  <si>
    <t>CP_D4xL54</t>
  </si>
  <si>
    <t>D1,D2</t>
  </si>
  <si>
    <t>LED</t>
  </si>
  <si>
    <t>LED0603</t>
  </si>
  <si>
    <t>D3</t>
  </si>
  <si>
    <t>SS34</t>
  </si>
  <si>
    <t>DO214AB</t>
  </si>
  <si>
    <t>F1</t>
  </si>
  <si>
    <t>FUSE 3A</t>
  </si>
  <si>
    <t>SMD1812</t>
  </si>
  <si>
    <t>J1,J3,J4,J5,J6,J7,J12,J13,J14,J15,J16,J17</t>
  </si>
  <si>
    <t>HDR_4P</t>
  </si>
  <si>
    <t>HDR4_P254</t>
  </si>
  <si>
    <t>J2</t>
  </si>
  <si>
    <t>HDR3x2_P254</t>
  </si>
  <si>
    <t>J8,J9,J10,J11</t>
  </si>
  <si>
    <t>HDR_2P</t>
  </si>
  <si>
    <t>HDR2_P254</t>
  </si>
  <si>
    <t>L1</t>
  </si>
  <si>
    <t>10uH,3A</t>
  </si>
  <si>
    <t>H0630</t>
  </si>
  <si>
    <t>R1,R2</t>
  </si>
  <si>
    <t>10K</t>
  </si>
  <si>
    <t>R0603</t>
  </si>
  <si>
    <t>R3,R4</t>
  </si>
  <si>
    <t>510R</t>
  </si>
  <si>
    <t>R5,R6,R7,R9</t>
  </si>
  <si>
    <t>100K</t>
  </si>
  <si>
    <t>R8</t>
  </si>
  <si>
    <t>210K,1%</t>
  </si>
  <si>
    <t>R10</t>
  </si>
  <si>
    <t>40R2K 1%</t>
  </si>
  <si>
    <t>SW1</t>
  </si>
  <si>
    <t>SW_PB_SPST</t>
  </si>
  <si>
    <t>SW_PB_4x3</t>
  </si>
  <si>
    <t>SW2</t>
  </si>
  <si>
    <t>KCD11-2P</t>
  </si>
  <si>
    <t>U1</t>
  </si>
  <si>
    <t>STM32F103C8T6</t>
  </si>
  <si>
    <t>LQFP_48</t>
  </si>
  <si>
    <t>U2</t>
  </si>
  <si>
    <t>XT30</t>
  </si>
  <si>
    <t>U3</t>
  </si>
  <si>
    <t>MP1584EN</t>
  </si>
  <si>
    <t>SOIC-8-EP</t>
  </si>
  <si>
    <t>U4</t>
  </si>
  <si>
    <t>LDL1117_33R</t>
  </si>
  <si>
    <t>SOT223</t>
  </si>
  <si>
    <t>U5,U6</t>
  </si>
  <si>
    <t>TB6612FNG</t>
  </si>
  <si>
    <t>SSOP24</t>
  </si>
  <si>
    <t>Y1</t>
  </si>
  <si>
    <t>32.768kHz</t>
  </si>
  <si>
    <t>SMD_32KHz</t>
  </si>
  <si>
    <t>Y2</t>
  </si>
  <si>
    <t>8MHz</t>
  </si>
  <si>
    <t>SMD_8MHz</t>
  </si>
  <si>
    <t>商品名称</t>
  </si>
  <si>
    <t>品牌</t>
  </si>
  <si>
    <t>商品封装</t>
  </si>
  <si>
    <t>购买数量</t>
  </si>
  <si>
    <t>单价</t>
  </si>
  <si>
    <t>预期成本</t>
  </si>
  <si>
    <t>备注</t>
  </si>
  <si>
    <t>20pF ±5% 50V C0G</t>
  </si>
  <si>
    <t>三星</t>
  </si>
  <si>
    <t>0603</t>
  </si>
  <si>
    <t>有库存</t>
  </si>
  <si>
    <t>4.7uF ±10% 16V X5R</t>
  </si>
  <si>
    <t>100nF ±10% 50V X7R</t>
  </si>
  <si>
    <t>预期成本</t>
    <phoneticPr fontId="18" type="noConversion"/>
  </si>
  <si>
    <t>嘉立创打样</t>
    <phoneticPr fontId="18" type="noConversion"/>
  </si>
  <si>
    <t>有券</t>
    <phoneticPr fontId="18" type="noConversion"/>
  </si>
  <si>
    <t xml:space="preserve">1uF ±10% 10V X5R </t>
  </si>
  <si>
    <t>10uF,50V</t>
    <phoneticPr fontId="18" type="noConversion"/>
  </si>
  <si>
    <t>10uF,16V</t>
    <phoneticPr fontId="18" type="noConversion"/>
  </si>
  <si>
    <t>SMD4*5.4mm</t>
  </si>
  <si>
    <t>兴飞</t>
    <phoneticPr fontId="18" type="noConversion"/>
  </si>
  <si>
    <t>1x4P 间距:2.54mm 方针 直插</t>
    <phoneticPr fontId="18" type="noConversion"/>
  </si>
  <si>
    <t>2x3P 间距:2.54mm 方针 直插</t>
    <phoneticPr fontId="18" type="noConversion"/>
  </si>
  <si>
    <t>HDR_2x3P</t>
    <phoneticPr fontId="18" type="noConversion"/>
  </si>
  <si>
    <t>插件,P=2.54mm</t>
  </si>
  <si>
    <t>1x2P 间距:2.54mm 方针 直插</t>
    <phoneticPr fontId="18" type="noConversion"/>
  </si>
  <si>
    <t>ST(意法半导体)</t>
    <phoneticPr fontId="18" type="noConversion"/>
  </si>
  <si>
    <t>MCU STM32F103C8T6</t>
    <phoneticPr fontId="18" type="noConversion"/>
  </si>
  <si>
    <t>LQFP-48</t>
    <phoneticPr fontId="18" type="noConversion"/>
  </si>
  <si>
    <t>TB6612FNG,C,8,EL</t>
  </si>
  <si>
    <t>东芝</t>
    <phoneticPr fontId="18" type="noConversion"/>
  </si>
  <si>
    <t>SSOP-24</t>
    <phoneticPr fontId="18" type="noConversion"/>
  </si>
  <si>
    <t>需求数量</t>
    <phoneticPr fontId="18" type="noConversion"/>
  </si>
  <si>
    <t>国巨</t>
    <phoneticPr fontId="18" type="noConversion"/>
  </si>
  <si>
    <t>10kΩ ±1% 100mW 75V ±100ppm/℃</t>
    <phoneticPr fontId="18" type="noConversion"/>
  </si>
  <si>
    <t>0603</t>
    <phoneticPr fontId="18" type="noConversion"/>
  </si>
  <si>
    <t>510Ω ±1% 100mW 75V ±100ppm/℃</t>
    <phoneticPr fontId="18" type="noConversion"/>
  </si>
  <si>
    <t>100kΩ ±1% 100mW 75V ±100ppm/℃</t>
    <phoneticPr fontId="18" type="noConversion"/>
  </si>
  <si>
    <t>200kΩ ±1% 100mW 75V ±100ppm/℃</t>
    <phoneticPr fontId="18" type="noConversion"/>
  </si>
  <si>
    <t>39kΩ ±1% 100mW 75V ±100ppm/℃</t>
    <phoneticPr fontId="18" type="noConversion"/>
  </si>
  <si>
    <t>1.2kΩ ±1% 100mW 75V ±100ppm/℃</t>
    <phoneticPr fontId="18" type="noConversion"/>
  </si>
  <si>
    <t>10uF ±20% 25V X5R</t>
    <phoneticPr fontId="18" type="noConversion"/>
  </si>
  <si>
    <t>10nF ±5% 50V X7R</t>
    <phoneticPr fontId="18" type="noConversion"/>
  </si>
  <si>
    <t>150pF ±5% 50V C0G</t>
    <phoneticPr fontId="18" type="noConversion"/>
  </si>
  <si>
    <t>10uF ±20% 16V，贴片铝电解电容</t>
    <phoneticPr fontId="18" type="noConversion"/>
  </si>
  <si>
    <t>*</t>
    <phoneticPr fontId="18" type="noConversion"/>
  </si>
  <si>
    <t>220uF ±20% 50V，贴片铝电解电容</t>
    <phoneticPr fontId="18" type="noConversion"/>
  </si>
  <si>
    <t>SOT-223</t>
    <phoneticPr fontId="18" type="noConversion"/>
  </si>
  <si>
    <t>LDL1117S33R 输出类型：固定 工作电压：18V 输出电压：3.3V 输出电流：1.2A 电源纹波抑制比(PSRR)：87dB@(120Hz) 输出极性：正极</t>
    <phoneticPr fontId="18" type="noConversion"/>
  </si>
  <si>
    <t>红色LED 0603 2.2V 20mA 色温620~625</t>
    <phoneticPr fontId="18" type="noConversion"/>
  </si>
  <si>
    <t>3*4mm微动 贴片开关</t>
    <phoneticPr fontId="18" type="noConversion"/>
  </si>
  <si>
    <t>HC-49SMD</t>
    <phoneticPr fontId="18" type="noConversion"/>
  </si>
  <si>
    <t xml:space="preserve">KCD11_2脚2挡_红色 3A 250V AC 绝缘电阻&gt;100MΩ 接触电阻＜50mΩ </t>
    <phoneticPr fontId="18" type="noConversion"/>
  </si>
  <si>
    <t>矩形 15*10.5mm</t>
    <phoneticPr fontId="18" type="noConversion"/>
  </si>
  <si>
    <t>矩形 3*4mm</t>
    <phoneticPr fontId="18" type="noConversion"/>
  </si>
  <si>
    <t>XT30卧式</t>
    <phoneticPr fontId="18" type="noConversion"/>
  </si>
  <si>
    <t>XT30PW-M 公头 板载卧式</t>
    <phoneticPr fontId="18" type="noConversion"/>
  </si>
  <si>
    <t>M49SMD</t>
    <phoneticPr fontId="18" type="noConversion"/>
  </si>
  <si>
    <t>无源石英晶振 32.768KHz 温度频差±300ppm 频率准确度 ±10ppm 负载电容20pF</t>
    <phoneticPr fontId="18" type="noConversion"/>
  </si>
  <si>
    <t>无源石英晶振 8MHz 频率准确度 ±30ppm 负载电容12.5pF</t>
    <phoneticPr fontId="18" type="noConversion"/>
  </si>
  <si>
    <t>6030</t>
    <phoneticPr fontId="18" type="noConversion"/>
  </si>
  <si>
    <t>10uH 贴片 功率电感 DCR62mΩ Irms3.5A Isat5.5A</t>
    <phoneticPr fontId="18" type="noConversion"/>
  </si>
  <si>
    <t>SMD10*10.2mm</t>
    <phoneticPr fontId="18" type="noConversion"/>
  </si>
  <si>
    <t>1812 自恢复保险丝 贴片 3A 16V</t>
    <phoneticPr fontId="18" type="noConversion"/>
  </si>
  <si>
    <t>1812</t>
    <phoneticPr fontId="18" type="noConversion"/>
  </si>
  <si>
    <t>DP214AB</t>
    <phoneticPr fontId="18" type="noConversion"/>
  </si>
  <si>
    <t>SS34C 3A 40V</t>
    <phoneticPr fontId="18" type="noConversion"/>
  </si>
  <si>
    <t>MP1584EN-LF-Z 开关稳压器 3A 1.5MHz 28V</t>
    <phoneticPr fontId="18" type="noConversion"/>
  </si>
  <si>
    <t>MPS</t>
    <phoneticPr fontId="18" type="noConversion"/>
  </si>
  <si>
    <t>SOIC-8-EP</t>
    <phoneticPr fontId="18" type="noConversion"/>
  </si>
  <si>
    <t>Qty.</t>
    <phoneticPr fontId="18" type="noConversion"/>
  </si>
  <si>
    <t>Parts Num.</t>
    <phoneticPr fontId="18" type="noConversion"/>
  </si>
  <si>
    <t>Parts Value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</si>
</sst>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9" fillId="35" borderId="10" xfId="0" applyFont="1" applyFill="1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9" fillId="35" borderId="0" xfId="0" applyFont="1" applyFill="1">
      <alignment vertical="center"/>
    </xf>
    <xf numFmtId="0" fontId="0" fillId="0" borderId="0" xfId="0" applyBorder="1" applyAlignment="1">
      <alignment horizontal="left" vertical="center"/>
    </xf>
    <xf numFmtId="0" fontId="19" fillId="35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>
      <alignment vertical="center"/>
    </xf>
    <xf numFmtId="0" fontId="19" fillId="35" borderId="11" xfId="0" applyFont="1" applyFill="1" applyBorder="1">
      <alignment vertical="center"/>
    </xf>
    <xf numFmtId="0" fontId="19" fillId="35" borderId="12" xfId="0" applyFont="1" applyFill="1" applyBorder="1">
      <alignment vertical="center"/>
    </xf>
    <xf numFmtId="0" fontId="0" fillId="34" borderId="13" xfId="0" applyFill="1" applyBorder="1">
      <alignment vertical="center"/>
    </xf>
    <xf numFmtId="0" fontId="0" fillId="34" borderId="0" xfId="0" applyFill="1" applyBorder="1">
      <alignment vertical="center"/>
    </xf>
    <xf numFmtId="49" fontId="0" fillId="34" borderId="0" xfId="0" applyNumberFormat="1" applyFill="1" applyBorder="1">
      <alignment vertical="center"/>
    </xf>
    <xf numFmtId="0" fontId="0" fillId="34" borderId="14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0" xfId="0" applyFill="1" applyBorder="1">
      <alignment vertical="center"/>
    </xf>
    <xf numFmtId="49" fontId="0" fillId="33" borderId="0" xfId="0" applyNumberFormat="1" applyFill="1" applyBorder="1">
      <alignment vertical="center"/>
    </xf>
    <xf numFmtId="0" fontId="0" fillId="33" borderId="14" xfId="0" applyFill="1" applyBorder="1">
      <alignment vertical="center"/>
    </xf>
    <xf numFmtId="0" fontId="0" fillId="34" borderId="15" xfId="0" applyFill="1" applyBorder="1">
      <alignment vertical="center"/>
    </xf>
    <xf numFmtId="0" fontId="0" fillId="34" borderId="16" xfId="0" applyFill="1" applyBorder="1">
      <alignment vertical="center"/>
    </xf>
    <xf numFmtId="49" fontId="0" fillId="34" borderId="16" xfId="0" applyNumberFormat="1" applyFill="1" applyBorder="1">
      <alignment vertical="center"/>
    </xf>
    <xf numFmtId="0" fontId="0" fillId="34" borderId="17" xfId="0" applyFill="1" applyBorder="1">
      <alignment vertical="center"/>
    </xf>
    <xf numFmtId="0" fontId="21" fillId="34" borderId="0" xfId="0" applyFont="1" applyFill="1" applyBorder="1">
      <alignment vertical="center"/>
    </xf>
    <xf numFmtId="0" fontId="21" fillId="33" borderId="0" xfId="0" applyFont="1" applyFill="1" applyBorder="1">
      <alignment vertical="center"/>
    </xf>
    <xf numFmtId="0" fontId="21" fillId="34" borderId="16" xfId="0" applyFont="1" applyFill="1" applyBorder="1">
      <alignment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D1BC-06D9-4164-9F0E-43E303760A64}">
  <dimension ref="A1:N39"/>
  <sheetViews>
    <sheetView tabSelected="1" topLeftCell="D1" zoomScaleNormal="100" workbookViewId="0">
      <selection activeCell="J46" sqref="J46"/>
    </sheetView>
  </sheetViews>
  <sheetFormatPr defaultRowHeight="14" x14ac:dyDescent="0.3"/>
  <cols>
    <col min="1" max="1" width="6.1640625" style="19" bestFit="1" customWidth="1"/>
    <col min="2" max="2" width="5.08203125" style="19" bestFit="1" customWidth="1"/>
    <col min="3" max="3" width="22" style="6" customWidth="1"/>
    <col min="4" max="4" width="14.83203125" style="6" bestFit="1" customWidth="1"/>
    <col min="5" max="5" width="13.83203125" style="6" customWidth="1"/>
    <col min="6" max="6" width="5.9140625" customWidth="1"/>
    <col min="7" max="7" width="36.25" customWidth="1"/>
    <col min="10" max="10" width="8.6640625" style="21"/>
    <col min="12" max="12" width="10.4140625" bestFit="1" customWidth="1"/>
  </cols>
  <sheetData>
    <row r="1" spans="1:14" s="7" customFormat="1" ht="21.5" customHeight="1" x14ac:dyDescent="0.3">
      <c r="A1" s="17" t="s">
        <v>0</v>
      </c>
      <c r="B1" s="12" t="s">
        <v>149</v>
      </c>
      <c r="C1" s="12" t="s">
        <v>150</v>
      </c>
      <c r="D1" s="12" t="s">
        <v>151</v>
      </c>
      <c r="E1" s="4" t="s">
        <v>1</v>
      </c>
      <c r="F1" s="10"/>
      <c r="G1" s="1" t="s">
        <v>79</v>
      </c>
      <c r="H1" s="22" t="s">
        <v>80</v>
      </c>
      <c r="I1" s="22" t="s">
        <v>81</v>
      </c>
      <c r="J1" s="22" t="s">
        <v>111</v>
      </c>
      <c r="K1" s="22" t="s">
        <v>82</v>
      </c>
      <c r="L1" s="22" t="s">
        <v>83</v>
      </c>
      <c r="M1" s="22" t="s">
        <v>84</v>
      </c>
      <c r="N1" s="23" t="s">
        <v>85</v>
      </c>
    </row>
    <row r="2" spans="1:14" x14ac:dyDescent="0.3">
      <c r="A2" s="20">
        <v>1</v>
      </c>
      <c r="B2" s="18">
        <v>5</v>
      </c>
      <c r="C2" s="11" t="s">
        <v>2</v>
      </c>
      <c r="D2" s="11" t="s">
        <v>3</v>
      </c>
      <c r="E2" s="14" t="s">
        <v>4</v>
      </c>
      <c r="G2" s="24" t="s">
        <v>86</v>
      </c>
      <c r="H2" s="25" t="s">
        <v>87</v>
      </c>
      <c r="I2" s="26" t="s">
        <v>88</v>
      </c>
      <c r="J2" s="25">
        <f>B2</f>
        <v>5</v>
      </c>
      <c r="K2" s="25">
        <v>0</v>
      </c>
      <c r="L2" s="25">
        <v>4.3999999999999997E-2</v>
      </c>
      <c r="M2" s="36">
        <f>K2*L2</f>
        <v>0</v>
      </c>
      <c r="N2" s="27" t="s">
        <v>89</v>
      </c>
    </row>
    <row r="3" spans="1:14" x14ac:dyDescent="0.3">
      <c r="A3" s="20">
        <v>2</v>
      </c>
      <c r="B3" s="18">
        <v>2</v>
      </c>
      <c r="C3" s="11" t="s">
        <v>5</v>
      </c>
      <c r="D3" s="11" t="s">
        <v>6</v>
      </c>
      <c r="E3" s="14" t="s">
        <v>4</v>
      </c>
      <c r="G3" s="24" t="s">
        <v>90</v>
      </c>
      <c r="H3" s="25" t="s">
        <v>87</v>
      </c>
      <c r="I3" s="26" t="s">
        <v>88</v>
      </c>
      <c r="J3" s="25">
        <f t="shared" ref="J3:J34" si="0">B3</f>
        <v>2</v>
      </c>
      <c r="K3" s="25">
        <v>0</v>
      </c>
      <c r="L3" s="25">
        <v>4.3999999999999997E-2</v>
      </c>
      <c r="M3" s="36">
        <f>K3*L3</f>
        <v>0</v>
      </c>
      <c r="N3" s="27" t="s">
        <v>89</v>
      </c>
    </row>
    <row r="4" spans="1:14" x14ac:dyDescent="0.3">
      <c r="A4" s="20">
        <v>3</v>
      </c>
      <c r="B4" s="18">
        <v>14</v>
      </c>
      <c r="C4" s="11" t="s">
        <v>7</v>
      </c>
      <c r="D4" s="11" t="s">
        <v>8</v>
      </c>
      <c r="E4" s="14" t="s">
        <v>4</v>
      </c>
      <c r="G4" s="24" t="s">
        <v>91</v>
      </c>
      <c r="H4" s="25" t="s">
        <v>87</v>
      </c>
      <c r="I4" s="26" t="s">
        <v>88</v>
      </c>
      <c r="J4" s="25">
        <f t="shared" si="0"/>
        <v>14</v>
      </c>
      <c r="K4" s="25">
        <v>0</v>
      </c>
      <c r="L4" s="25">
        <v>3.3000000000000002E-2</v>
      </c>
      <c r="M4" s="36">
        <f>K4*L4</f>
        <v>0</v>
      </c>
      <c r="N4" s="27" t="s">
        <v>89</v>
      </c>
    </row>
    <row r="5" spans="1:14" x14ac:dyDescent="0.3">
      <c r="A5" s="20">
        <v>4</v>
      </c>
      <c r="B5" s="18">
        <v>1</v>
      </c>
      <c r="C5" s="11" t="s">
        <v>9</v>
      </c>
      <c r="D5" s="11" t="s">
        <v>10</v>
      </c>
      <c r="E5" s="14" t="s">
        <v>4</v>
      </c>
      <c r="G5" s="28" t="s">
        <v>121</v>
      </c>
      <c r="H5" s="29" t="s">
        <v>87</v>
      </c>
      <c r="I5" s="30" t="s">
        <v>88</v>
      </c>
      <c r="J5" s="29">
        <f t="shared" si="0"/>
        <v>1</v>
      </c>
      <c r="K5" s="29">
        <v>100</v>
      </c>
      <c r="L5" s="29">
        <f>2.2/100</f>
        <v>2.2000000000000002E-2</v>
      </c>
      <c r="M5" s="37">
        <f t="shared" ref="M5:M34" si="1">K5*L5</f>
        <v>2.2000000000000002</v>
      </c>
      <c r="N5" s="31"/>
    </row>
    <row r="6" spans="1:14" x14ac:dyDescent="0.3">
      <c r="A6" s="20">
        <v>5</v>
      </c>
      <c r="B6" s="18">
        <v>2</v>
      </c>
      <c r="C6" s="11" t="s">
        <v>11</v>
      </c>
      <c r="D6" s="11" t="s">
        <v>12</v>
      </c>
      <c r="E6" s="14" t="s">
        <v>4</v>
      </c>
      <c r="G6" s="24" t="s">
        <v>95</v>
      </c>
      <c r="H6" s="25" t="s">
        <v>87</v>
      </c>
      <c r="I6" s="26" t="s">
        <v>88</v>
      </c>
      <c r="J6" s="25">
        <f t="shared" si="0"/>
        <v>2</v>
      </c>
      <c r="K6" s="25">
        <v>0</v>
      </c>
      <c r="L6" s="25">
        <v>3.3000000000000002E-2</v>
      </c>
      <c r="M6" s="36">
        <f t="shared" si="1"/>
        <v>0</v>
      </c>
      <c r="N6" s="27" t="s">
        <v>89</v>
      </c>
    </row>
    <row r="7" spans="1:14" x14ac:dyDescent="0.3">
      <c r="A7" s="20">
        <v>6</v>
      </c>
      <c r="B7" s="18">
        <v>1</v>
      </c>
      <c r="C7" s="11" t="s">
        <v>13</v>
      </c>
      <c r="D7" s="11" t="s">
        <v>14</v>
      </c>
      <c r="E7" s="14" t="s">
        <v>15</v>
      </c>
      <c r="G7" s="28" t="s">
        <v>125</v>
      </c>
      <c r="H7" s="29" t="s">
        <v>124</v>
      </c>
      <c r="I7" s="30" t="s">
        <v>141</v>
      </c>
      <c r="J7" s="29">
        <f t="shared" si="0"/>
        <v>1</v>
      </c>
      <c r="K7" s="29">
        <v>2</v>
      </c>
      <c r="L7" s="29">
        <f>2.5/5</f>
        <v>0.5</v>
      </c>
      <c r="M7" s="37">
        <f t="shared" si="1"/>
        <v>1</v>
      </c>
      <c r="N7" s="31"/>
    </row>
    <row r="8" spans="1:14" x14ac:dyDescent="0.3">
      <c r="A8" s="20">
        <v>7</v>
      </c>
      <c r="B8" s="18">
        <v>1</v>
      </c>
      <c r="C8" s="11" t="s">
        <v>16</v>
      </c>
      <c r="D8" s="11" t="s">
        <v>96</v>
      </c>
      <c r="E8" s="14" t="s">
        <v>4</v>
      </c>
      <c r="G8" s="28" t="s">
        <v>120</v>
      </c>
      <c r="H8" s="29" t="s">
        <v>87</v>
      </c>
      <c r="I8" s="30" t="s">
        <v>88</v>
      </c>
      <c r="J8" s="29">
        <f t="shared" si="0"/>
        <v>1</v>
      </c>
      <c r="K8" s="29">
        <v>100</v>
      </c>
      <c r="L8" s="29">
        <f>4.95/100</f>
        <v>4.9500000000000002E-2</v>
      </c>
      <c r="M8" s="37">
        <f t="shared" si="1"/>
        <v>4.95</v>
      </c>
      <c r="N8" s="31"/>
    </row>
    <row r="9" spans="1:14" x14ac:dyDescent="0.3">
      <c r="A9" s="20">
        <v>8</v>
      </c>
      <c r="B9" s="18">
        <v>1</v>
      </c>
      <c r="C9" s="11" t="s">
        <v>17</v>
      </c>
      <c r="D9" s="11" t="s">
        <v>18</v>
      </c>
      <c r="E9" s="14" t="s">
        <v>15</v>
      </c>
      <c r="G9" s="28" t="s">
        <v>125</v>
      </c>
      <c r="H9" s="29" t="s">
        <v>124</v>
      </c>
      <c r="I9" s="30" t="s">
        <v>141</v>
      </c>
      <c r="J9" s="29">
        <f t="shared" si="0"/>
        <v>1</v>
      </c>
      <c r="K9" s="29">
        <v>3</v>
      </c>
      <c r="L9" s="29">
        <f>2.5/5</f>
        <v>0.5</v>
      </c>
      <c r="M9" s="37">
        <f t="shared" si="1"/>
        <v>1.5</v>
      </c>
      <c r="N9" s="31"/>
    </row>
    <row r="10" spans="1:14" x14ac:dyDescent="0.3">
      <c r="A10" s="20">
        <v>9</v>
      </c>
      <c r="B10" s="18">
        <v>1</v>
      </c>
      <c r="C10" s="11" t="s">
        <v>19</v>
      </c>
      <c r="D10" s="11" t="s">
        <v>20</v>
      </c>
      <c r="E10" s="14" t="s">
        <v>4</v>
      </c>
      <c r="G10" s="28" t="s">
        <v>122</v>
      </c>
      <c r="H10" s="29" t="s">
        <v>87</v>
      </c>
      <c r="I10" s="30" t="s">
        <v>88</v>
      </c>
      <c r="J10" s="29">
        <f t="shared" si="0"/>
        <v>1</v>
      </c>
      <c r="K10" s="29">
        <v>100</v>
      </c>
      <c r="L10" s="29">
        <f>2.2/100</f>
        <v>2.2000000000000002E-2</v>
      </c>
      <c r="M10" s="37">
        <f t="shared" si="1"/>
        <v>2.2000000000000002</v>
      </c>
      <c r="N10" s="31"/>
    </row>
    <row r="11" spans="1:14" x14ac:dyDescent="0.3">
      <c r="A11" s="20">
        <v>10</v>
      </c>
      <c r="B11" s="18">
        <v>4</v>
      </c>
      <c r="C11" s="11" t="s">
        <v>21</v>
      </c>
      <c r="D11" s="11" t="s">
        <v>97</v>
      </c>
      <c r="E11" s="14" t="s">
        <v>22</v>
      </c>
      <c r="G11" s="24" t="s">
        <v>123</v>
      </c>
      <c r="H11" s="25" t="s">
        <v>124</v>
      </c>
      <c r="I11" s="26" t="s">
        <v>98</v>
      </c>
      <c r="J11" s="25">
        <f t="shared" si="0"/>
        <v>4</v>
      </c>
      <c r="K11" s="25">
        <v>0</v>
      </c>
      <c r="L11" s="25">
        <v>0.12</v>
      </c>
      <c r="M11" s="36">
        <f t="shared" si="1"/>
        <v>0</v>
      </c>
      <c r="N11" s="27" t="s">
        <v>89</v>
      </c>
    </row>
    <row r="12" spans="1:14" x14ac:dyDescent="0.3">
      <c r="A12" s="20">
        <v>11</v>
      </c>
      <c r="B12" s="18">
        <v>2</v>
      </c>
      <c r="C12" s="11" t="s">
        <v>23</v>
      </c>
      <c r="D12" s="11" t="s">
        <v>24</v>
      </c>
      <c r="E12" s="14" t="s">
        <v>25</v>
      </c>
      <c r="G12" s="24" t="s">
        <v>128</v>
      </c>
      <c r="H12" s="25" t="s">
        <v>124</v>
      </c>
      <c r="I12" s="26" t="s">
        <v>114</v>
      </c>
      <c r="J12" s="25">
        <f t="shared" si="0"/>
        <v>2</v>
      </c>
      <c r="K12" s="25">
        <v>0</v>
      </c>
      <c r="L12" s="25">
        <f>2/50</f>
        <v>0.04</v>
      </c>
      <c r="M12" s="36">
        <f t="shared" si="1"/>
        <v>0</v>
      </c>
      <c r="N12" s="27" t="s">
        <v>89</v>
      </c>
    </row>
    <row r="13" spans="1:14" x14ac:dyDescent="0.3">
      <c r="A13" s="20">
        <v>12</v>
      </c>
      <c r="B13" s="18">
        <v>1</v>
      </c>
      <c r="C13" s="11" t="s">
        <v>26</v>
      </c>
      <c r="D13" s="11" t="s">
        <v>27</v>
      </c>
      <c r="E13" s="14" t="s">
        <v>28</v>
      </c>
      <c r="G13" s="28" t="s">
        <v>145</v>
      </c>
      <c r="H13" s="29"/>
      <c r="I13" s="30" t="s">
        <v>144</v>
      </c>
      <c r="J13" s="29">
        <f t="shared" si="0"/>
        <v>1</v>
      </c>
      <c r="K13" s="29">
        <v>5</v>
      </c>
      <c r="L13" s="29">
        <f>2.2/5</f>
        <v>0.44000000000000006</v>
      </c>
      <c r="M13" s="37">
        <f>K13*L13</f>
        <v>2.2000000000000002</v>
      </c>
      <c r="N13" s="31"/>
    </row>
    <row r="14" spans="1:14" x14ac:dyDescent="0.3">
      <c r="A14" s="20">
        <v>13</v>
      </c>
      <c r="B14" s="18">
        <v>1</v>
      </c>
      <c r="C14" s="11" t="s">
        <v>29</v>
      </c>
      <c r="D14" s="11" t="s">
        <v>30</v>
      </c>
      <c r="E14" s="14" t="s">
        <v>31</v>
      </c>
      <c r="G14" s="28" t="s">
        <v>142</v>
      </c>
      <c r="H14" s="29" t="s">
        <v>124</v>
      </c>
      <c r="I14" s="30" t="s">
        <v>143</v>
      </c>
      <c r="J14" s="29">
        <f t="shared" si="0"/>
        <v>1</v>
      </c>
      <c r="K14" s="29">
        <v>5</v>
      </c>
      <c r="L14" s="29">
        <f>3.5/5</f>
        <v>0.7</v>
      </c>
      <c r="M14" s="37">
        <f t="shared" si="1"/>
        <v>3.5</v>
      </c>
      <c r="N14" s="31"/>
    </row>
    <row r="15" spans="1:14" x14ac:dyDescent="0.3">
      <c r="A15" s="20">
        <v>14</v>
      </c>
      <c r="B15" s="18">
        <v>12</v>
      </c>
      <c r="C15" s="11" t="s">
        <v>32</v>
      </c>
      <c r="D15" s="11" t="s">
        <v>33</v>
      </c>
      <c r="E15" s="14" t="s">
        <v>34</v>
      </c>
      <c r="G15" s="24" t="s">
        <v>100</v>
      </c>
      <c r="H15" s="25" t="s">
        <v>99</v>
      </c>
      <c r="I15" s="26" t="s">
        <v>103</v>
      </c>
      <c r="J15" s="25">
        <f t="shared" si="0"/>
        <v>12</v>
      </c>
      <c r="K15" s="25">
        <v>0</v>
      </c>
      <c r="L15" s="25">
        <v>0.04</v>
      </c>
      <c r="M15" s="36">
        <f t="shared" si="1"/>
        <v>0</v>
      </c>
      <c r="N15" s="27" t="s">
        <v>89</v>
      </c>
    </row>
    <row r="16" spans="1:14" x14ac:dyDescent="0.3">
      <c r="A16" s="20">
        <v>15</v>
      </c>
      <c r="B16" s="18">
        <v>1</v>
      </c>
      <c r="C16" s="11" t="s">
        <v>35</v>
      </c>
      <c r="D16" s="11" t="s">
        <v>102</v>
      </c>
      <c r="E16" s="14" t="s">
        <v>36</v>
      </c>
      <c r="G16" s="24" t="s">
        <v>101</v>
      </c>
      <c r="H16" s="25" t="s">
        <v>99</v>
      </c>
      <c r="I16" s="26" t="s">
        <v>103</v>
      </c>
      <c r="J16" s="25">
        <f t="shared" si="0"/>
        <v>1</v>
      </c>
      <c r="K16" s="25">
        <v>0</v>
      </c>
      <c r="L16" s="25">
        <v>6.6000000000000003E-2</v>
      </c>
      <c r="M16" s="36">
        <f t="shared" si="1"/>
        <v>0</v>
      </c>
      <c r="N16" s="27" t="s">
        <v>89</v>
      </c>
    </row>
    <row r="17" spans="1:14" x14ac:dyDescent="0.3">
      <c r="A17" s="20">
        <v>16</v>
      </c>
      <c r="B17" s="18">
        <v>4</v>
      </c>
      <c r="C17" s="11" t="s">
        <v>37</v>
      </c>
      <c r="D17" s="11" t="s">
        <v>38</v>
      </c>
      <c r="E17" s="14" t="s">
        <v>39</v>
      </c>
      <c r="G17" s="24" t="s">
        <v>104</v>
      </c>
      <c r="H17" s="25" t="s">
        <v>99</v>
      </c>
      <c r="I17" s="26" t="s">
        <v>103</v>
      </c>
      <c r="J17" s="25">
        <f t="shared" si="0"/>
        <v>4</v>
      </c>
      <c r="K17" s="25">
        <v>0</v>
      </c>
      <c r="L17" s="25">
        <v>2.5999999999999999E-2</v>
      </c>
      <c r="M17" s="36">
        <f t="shared" si="1"/>
        <v>0</v>
      </c>
      <c r="N17" s="27" t="s">
        <v>89</v>
      </c>
    </row>
    <row r="18" spans="1:14" x14ac:dyDescent="0.3">
      <c r="A18" s="20">
        <v>17</v>
      </c>
      <c r="B18" s="18">
        <v>1</v>
      </c>
      <c r="C18" s="11" t="s">
        <v>40</v>
      </c>
      <c r="D18" s="11" t="s">
        <v>41</v>
      </c>
      <c r="E18" s="14" t="s">
        <v>42</v>
      </c>
      <c r="G18" s="28" t="s">
        <v>140</v>
      </c>
      <c r="H18" s="29" t="s">
        <v>124</v>
      </c>
      <c r="I18" s="30" t="s">
        <v>139</v>
      </c>
      <c r="J18" s="29">
        <f t="shared" si="0"/>
        <v>1</v>
      </c>
      <c r="K18" s="29">
        <v>5</v>
      </c>
      <c r="L18" s="29">
        <f>2.7/5</f>
        <v>0.54</v>
      </c>
      <c r="M18" s="37">
        <f t="shared" si="1"/>
        <v>2.7</v>
      </c>
      <c r="N18" s="31"/>
    </row>
    <row r="19" spans="1:14" x14ac:dyDescent="0.3">
      <c r="A19" s="20">
        <v>18</v>
      </c>
      <c r="B19" s="18">
        <v>2</v>
      </c>
      <c r="C19" s="11" t="s">
        <v>43</v>
      </c>
      <c r="D19" s="11" t="s">
        <v>44</v>
      </c>
      <c r="E19" s="14" t="s">
        <v>45</v>
      </c>
      <c r="G19" s="24" t="s">
        <v>113</v>
      </c>
      <c r="H19" s="25" t="s">
        <v>112</v>
      </c>
      <c r="I19" s="26" t="s">
        <v>114</v>
      </c>
      <c r="J19" s="25">
        <f t="shared" si="0"/>
        <v>2</v>
      </c>
      <c r="K19" s="25">
        <v>0</v>
      </c>
      <c r="L19" s="25">
        <f>1.98/100</f>
        <v>1.9799999999999998E-2</v>
      </c>
      <c r="M19" s="36">
        <f t="shared" si="1"/>
        <v>0</v>
      </c>
      <c r="N19" s="27" t="s">
        <v>89</v>
      </c>
    </row>
    <row r="20" spans="1:14" x14ac:dyDescent="0.3">
      <c r="A20" s="20">
        <v>19</v>
      </c>
      <c r="B20" s="18">
        <v>2</v>
      </c>
      <c r="C20" s="11" t="s">
        <v>46</v>
      </c>
      <c r="D20" s="11" t="s">
        <v>47</v>
      </c>
      <c r="E20" s="14" t="s">
        <v>45</v>
      </c>
      <c r="G20" s="24" t="s">
        <v>115</v>
      </c>
      <c r="H20" s="25" t="s">
        <v>112</v>
      </c>
      <c r="I20" s="26" t="s">
        <v>114</v>
      </c>
      <c r="J20" s="25">
        <f t="shared" si="0"/>
        <v>2</v>
      </c>
      <c r="K20" s="25">
        <v>0</v>
      </c>
      <c r="L20" s="25">
        <f>1.98/100</f>
        <v>1.9799999999999998E-2</v>
      </c>
      <c r="M20" s="36">
        <f t="shared" si="1"/>
        <v>0</v>
      </c>
      <c r="N20" s="27" t="s">
        <v>89</v>
      </c>
    </row>
    <row r="21" spans="1:14" x14ac:dyDescent="0.3">
      <c r="A21" s="20">
        <v>20</v>
      </c>
      <c r="B21" s="18">
        <v>4</v>
      </c>
      <c r="C21" s="11" t="s">
        <v>48</v>
      </c>
      <c r="D21" s="11" t="s">
        <v>49</v>
      </c>
      <c r="E21" s="14" t="s">
        <v>45</v>
      </c>
      <c r="G21" s="28" t="s">
        <v>116</v>
      </c>
      <c r="H21" s="29" t="s">
        <v>112</v>
      </c>
      <c r="I21" s="30" t="s">
        <v>114</v>
      </c>
      <c r="J21" s="29">
        <f t="shared" si="0"/>
        <v>4</v>
      </c>
      <c r="K21" s="29">
        <v>100</v>
      </c>
      <c r="L21" s="29">
        <f>1.98/100</f>
        <v>1.9799999999999998E-2</v>
      </c>
      <c r="M21" s="37">
        <f t="shared" si="1"/>
        <v>1.9799999999999998</v>
      </c>
      <c r="N21" s="31"/>
    </row>
    <row r="22" spans="1:14" x14ac:dyDescent="0.3">
      <c r="A22" s="16">
        <v>21</v>
      </c>
      <c r="B22" s="3">
        <v>1</v>
      </c>
      <c r="C22" s="15" t="s">
        <v>50</v>
      </c>
      <c r="D22" s="15" t="s">
        <v>51</v>
      </c>
      <c r="E22" s="5" t="s">
        <v>45</v>
      </c>
      <c r="G22" s="28" t="s">
        <v>117</v>
      </c>
      <c r="H22" s="29" t="s">
        <v>112</v>
      </c>
      <c r="I22" s="30" t="s">
        <v>114</v>
      </c>
      <c r="J22" s="29">
        <f t="shared" si="0"/>
        <v>1</v>
      </c>
      <c r="K22" s="29">
        <v>100</v>
      </c>
      <c r="L22" s="29">
        <f>1.98/100</f>
        <v>1.9799999999999998E-2</v>
      </c>
      <c r="M22" s="37">
        <f t="shared" si="1"/>
        <v>1.9799999999999998</v>
      </c>
      <c r="N22" s="31"/>
    </row>
    <row r="23" spans="1:14" s="21" customFormat="1" x14ac:dyDescent="0.3">
      <c r="A23" s="16"/>
      <c r="B23" s="3"/>
      <c r="C23" s="15"/>
      <c r="D23" s="15"/>
      <c r="E23" s="5"/>
      <c r="G23" s="24" t="s">
        <v>113</v>
      </c>
      <c r="H23" s="25" t="s">
        <v>112</v>
      </c>
      <c r="I23" s="26" t="s">
        <v>114</v>
      </c>
      <c r="J23" s="25">
        <f>J22</f>
        <v>1</v>
      </c>
      <c r="K23" s="25">
        <v>0</v>
      </c>
      <c r="L23" s="25">
        <f>1.98/100</f>
        <v>1.9799999999999998E-2</v>
      </c>
      <c r="M23" s="36">
        <f t="shared" si="1"/>
        <v>0</v>
      </c>
      <c r="N23" s="27" t="s">
        <v>89</v>
      </c>
    </row>
    <row r="24" spans="1:14" x14ac:dyDescent="0.3">
      <c r="A24" s="16">
        <v>22</v>
      </c>
      <c r="B24" s="3">
        <v>1</v>
      </c>
      <c r="C24" s="15" t="s">
        <v>52</v>
      </c>
      <c r="D24" s="15" t="s">
        <v>53</v>
      </c>
      <c r="E24" s="5" t="s">
        <v>45</v>
      </c>
      <c r="G24" s="28" t="s">
        <v>118</v>
      </c>
      <c r="H24" s="29" t="s">
        <v>112</v>
      </c>
      <c r="I24" s="30" t="s">
        <v>114</v>
      </c>
      <c r="J24" s="29">
        <f t="shared" si="0"/>
        <v>1</v>
      </c>
      <c r="K24" s="29">
        <v>100</v>
      </c>
      <c r="L24" s="29">
        <f>1.98/100</f>
        <v>1.9799999999999998E-2</v>
      </c>
      <c r="M24" s="37">
        <f t="shared" si="1"/>
        <v>1.9799999999999998</v>
      </c>
      <c r="N24" s="31"/>
    </row>
    <row r="25" spans="1:14" s="21" customFormat="1" x14ac:dyDescent="0.3">
      <c r="A25" s="16"/>
      <c r="B25" s="3"/>
      <c r="C25" s="15"/>
      <c r="D25" s="15"/>
      <c r="E25" s="5"/>
      <c r="G25" s="28" t="s">
        <v>119</v>
      </c>
      <c r="H25" s="29" t="s">
        <v>112</v>
      </c>
      <c r="I25" s="30" t="s">
        <v>114</v>
      </c>
      <c r="J25" s="29">
        <f>J24</f>
        <v>1</v>
      </c>
      <c r="K25" s="29">
        <v>100</v>
      </c>
      <c r="L25" s="29">
        <f>1.98/100</f>
        <v>1.9799999999999998E-2</v>
      </c>
      <c r="M25" s="37">
        <f t="shared" si="1"/>
        <v>1.9799999999999998</v>
      </c>
      <c r="N25" s="31"/>
    </row>
    <row r="26" spans="1:14" x14ac:dyDescent="0.3">
      <c r="A26" s="20">
        <v>23</v>
      </c>
      <c r="B26" s="18">
        <v>1</v>
      </c>
      <c r="C26" s="11" t="s">
        <v>54</v>
      </c>
      <c r="D26" s="11" t="s">
        <v>55</v>
      </c>
      <c r="E26" s="14" t="s">
        <v>56</v>
      </c>
      <c r="G26" s="24" t="s">
        <v>129</v>
      </c>
      <c r="H26" s="25" t="s">
        <v>124</v>
      </c>
      <c r="I26" s="26" t="s">
        <v>133</v>
      </c>
      <c r="J26" s="25">
        <f t="shared" si="0"/>
        <v>1</v>
      </c>
      <c r="K26" s="25">
        <v>0</v>
      </c>
      <c r="L26" s="25">
        <f>2.27/20</f>
        <v>0.1135</v>
      </c>
      <c r="M26" s="36">
        <f t="shared" si="1"/>
        <v>0</v>
      </c>
      <c r="N26" s="27" t="s">
        <v>89</v>
      </c>
    </row>
    <row r="27" spans="1:14" x14ac:dyDescent="0.3">
      <c r="A27" s="20">
        <v>24</v>
      </c>
      <c r="B27" s="18">
        <v>1</v>
      </c>
      <c r="C27" s="11" t="s">
        <v>57</v>
      </c>
      <c r="D27" s="11" t="s">
        <v>58</v>
      </c>
      <c r="E27" s="14" t="s">
        <v>58</v>
      </c>
      <c r="G27" s="28" t="s">
        <v>131</v>
      </c>
      <c r="H27" s="29" t="s">
        <v>124</v>
      </c>
      <c r="I27" s="30" t="s">
        <v>132</v>
      </c>
      <c r="J27" s="29">
        <f t="shared" si="0"/>
        <v>1</v>
      </c>
      <c r="K27" s="29">
        <v>4</v>
      </c>
      <c r="L27" s="29">
        <v>0.27</v>
      </c>
      <c r="M27" s="37">
        <f t="shared" si="1"/>
        <v>1.08</v>
      </c>
      <c r="N27" s="31"/>
    </row>
    <row r="28" spans="1:14" x14ac:dyDescent="0.3">
      <c r="A28" s="20">
        <v>25</v>
      </c>
      <c r="B28" s="18">
        <v>1</v>
      </c>
      <c r="C28" s="11" t="s">
        <v>59</v>
      </c>
      <c r="D28" s="11" t="s">
        <v>60</v>
      </c>
      <c r="E28" s="14" t="s">
        <v>61</v>
      </c>
      <c r="G28" s="24" t="s">
        <v>106</v>
      </c>
      <c r="H28" s="25" t="s">
        <v>105</v>
      </c>
      <c r="I28" s="26" t="s">
        <v>107</v>
      </c>
      <c r="J28" s="25">
        <f t="shared" si="0"/>
        <v>1</v>
      </c>
      <c r="K28" s="25">
        <v>0</v>
      </c>
      <c r="L28" s="25">
        <v>6.2</v>
      </c>
      <c r="M28" s="36">
        <f t="shared" si="1"/>
        <v>0</v>
      </c>
      <c r="N28" s="27" t="s">
        <v>89</v>
      </c>
    </row>
    <row r="29" spans="1:14" x14ac:dyDescent="0.3">
      <c r="A29" s="20">
        <v>26</v>
      </c>
      <c r="B29" s="18">
        <v>1</v>
      </c>
      <c r="C29" s="11" t="s">
        <v>62</v>
      </c>
      <c r="D29" s="11" t="s">
        <v>63</v>
      </c>
      <c r="E29" s="14" t="s">
        <v>63</v>
      </c>
      <c r="G29" s="24" t="s">
        <v>135</v>
      </c>
      <c r="H29" s="25" t="s">
        <v>124</v>
      </c>
      <c r="I29" s="26" t="s">
        <v>134</v>
      </c>
      <c r="J29" s="25">
        <f t="shared" si="0"/>
        <v>1</v>
      </c>
      <c r="K29" s="25">
        <v>0</v>
      </c>
      <c r="L29" s="25">
        <v>1.43</v>
      </c>
      <c r="M29" s="36">
        <f t="shared" si="1"/>
        <v>0</v>
      </c>
      <c r="N29" s="27" t="s">
        <v>89</v>
      </c>
    </row>
    <row r="30" spans="1:14" x14ac:dyDescent="0.3">
      <c r="A30" s="20">
        <v>27</v>
      </c>
      <c r="B30" s="18">
        <v>1</v>
      </c>
      <c r="C30" s="11" t="s">
        <v>64</v>
      </c>
      <c r="D30" s="11" t="s">
        <v>65</v>
      </c>
      <c r="E30" s="14" t="s">
        <v>66</v>
      </c>
      <c r="G30" s="28" t="s">
        <v>146</v>
      </c>
      <c r="H30" s="29" t="s">
        <v>147</v>
      </c>
      <c r="I30" s="30" t="s">
        <v>148</v>
      </c>
      <c r="J30" s="29">
        <f t="shared" si="0"/>
        <v>1</v>
      </c>
      <c r="K30" s="29">
        <v>2</v>
      </c>
      <c r="L30" s="29">
        <v>6</v>
      </c>
      <c r="M30" s="37">
        <f>K30*L30</f>
        <v>12</v>
      </c>
      <c r="N30" s="31"/>
    </row>
    <row r="31" spans="1:14" x14ac:dyDescent="0.3">
      <c r="A31" s="20">
        <v>28</v>
      </c>
      <c r="B31" s="18">
        <v>1</v>
      </c>
      <c r="C31" s="11" t="s">
        <v>67</v>
      </c>
      <c r="D31" s="11" t="s">
        <v>68</v>
      </c>
      <c r="E31" s="14" t="s">
        <v>69</v>
      </c>
      <c r="G31" s="24" t="s">
        <v>127</v>
      </c>
      <c r="H31" s="25" t="s">
        <v>105</v>
      </c>
      <c r="I31" s="26" t="s">
        <v>126</v>
      </c>
      <c r="J31" s="25">
        <f t="shared" si="0"/>
        <v>1</v>
      </c>
      <c r="K31" s="25">
        <v>0</v>
      </c>
      <c r="L31" s="25">
        <v>0.83</v>
      </c>
      <c r="M31" s="36">
        <f t="shared" si="1"/>
        <v>0</v>
      </c>
      <c r="N31" s="27" t="s">
        <v>89</v>
      </c>
    </row>
    <row r="32" spans="1:14" x14ac:dyDescent="0.3">
      <c r="A32" s="20">
        <v>29</v>
      </c>
      <c r="B32" s="18">
        <v>2</v>
      </c>
      <c r="C32" s="11" t="s">
        <v>70</v>
      </c>
      <c r="D32" s="11" t="s">
        <v>71</v>
      </c>
      <c r="E32" s="14" t="s">
        <v>72</v>
      </c>
      <c r="G32" s="24" t="s">
        <v>108</v>
      </c>
      <c r="H32" s="25" t="s">
        <v>109</v>
      </c>
      <c r="I32" s="26" t="s">
        <v>110</v>
      </c>
      <c r="J32" s="25">
        <f t="shared" si="0"/>
        <v>2</v>
      </c>
      <c r="K32" s="25">
        <v>0</v>
      </c>
      <c r="L32" s="25">
        <v>4.9000000000000004</v>
      </c>
      <c r="M32" s="36">
        <f t="shared" si="1"/>
        <v>0</v>
      </c>
      <c r="N32" s="27" t="s">
        <v>89</v>
      </c>
    </row>
    <row r="33" spans="1:14" x14ac:dyDescent="0.3">
      <c r="A33" s="20">
        <v>30</v>
      </c>
      <c r="B33" s="18">
        <v>1</v>
      </c>
      <c r="C33" s="11" t="s">
        <v>73</v>
      </c>
      <c r="D33" s="11" t="s">
        <v>74</v>
      </c>
      <c r="E33" s="14" t="s">
        <v>75</v>
      </c>
      <c r="G33" s="24" t="s">
        <v>138</v>
      </c>
      <c r="H33" s="25" t="s">
        <v>124</v>
      </c>
      <c r="I33" s="26" t="s">
        <v>136</v>
      </c>
      <c r="J33" s="25">
        <f t="shared" si="0"/>
        <v>1</v>
      </c>
      <c r="K33" s="25">
        <v>0</v>
      </c>
      <c r="L33" s="25">
        <v>0.17</v>
      </c>
      <c r="M33" s="36">
        <f t="shared" si="1"/>
        <v>0</v>
      </c>
      <c r="N33" s="27" t="s">
        <v>89</v>
      </c>
    </row>
    <row r="34" spans="1:14" ht="14.5" thickBot="1" x14ac:dyDescent="0.35">
      <c r="A34" s="8">
        <v>31</v>
      </c>
      <c r="B34" s="9">
        <v>1</v>
      </c>
      <c r="C34" s="2" t="s">
        <v>76</v>
      </c>
      <c r="D34" s="2" t="s">
        <v>77</v>
      </c>
      <c r="E34" s="13" t="s">
        <v>78</v>
      </c>
      <c r="G34" s="32" t="s">
        <v>137</v>
      </c>
      <c r="H34" s="33" t="s">
        <v>124</v>
      </c>
      <c r="I34" s="34" t="s">
        <v>130</v>
      </c>
      <c r="J34" s="33">
        <f t="shared" si="0"/>
        <v>1</v>
      </c>
      <c r="K34" s="33">
        <v>0</v>
      </c>
      <c r="L34" s="33">
        <v>0.38</v>
      </c>
      <c r="M34" s="38">
        <f t="shared" si="1"/>
        <v>0</v>
      </c>
      <c r="N34" s="35" t="s">
        <v>89</v>
      </c>
    </row>
    <row r="35" spans="1:14" x14ac:dyDescent="0.3">
      <c r="M35" s="39"/>
    </row>
    <row r="36" spans="1:14" x14ac:dyDescent="0.3">
      <c r="M36" s="39"/>
    </row>
    <row r="37" spans="1:14" x14ac:dyDescent="0.3">
      <c r="L37" t="s">
        <v>93</v>
      </c>
      <c r="M37" s="39">
        <v>0</v>
      </c>
      <c r="N37" t="s">
        <v>94</v>
      </c>
    </row>
    <row r="38" spans="1:14" x14ac:dyDescent="0.3">
      <c r="M38" s="39"/>
    </row>
    <row r="39" spans="1:14" x14ac:dyDescent="0.3">
      <c r="L39" t="s">
        <v>92</v>
      </c>
      <c r="M39" s="39">
        <f>SUM(M2:M38)</f>
        <v>41.25</v>
      </c>
    </row>
  </sheetData>
  <mergeCells count="10"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0216_ORCAD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SAHNG</dc:creator>
  <cp:lastModifiedBy>Kellan Shang</cp:lastModifiedBy>
  <dcterms:created xsi:type="dcterms:W3CDTF">2026-03-06T02:28:13Z</dcterms:created>
  <dcterms:modified xsi:type="dcterms:W3CDTF">2026-03-06T04:07:49Z</dcterms:modified>
</cp:coreProperties>
</file>